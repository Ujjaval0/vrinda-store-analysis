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freak\Downloads\"/>
    </mc:Choice>
  </mc:AlternateContent>
  <xr:revisionPtr revIDLastSave="0" documentId="13_ncr:1_{1561FA67-93B3-48FC-AD45-5E683890D95C}"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Sheet4" sheetId="5" r:id="rId3"/>
    <sheet name="Dashbord" sheetId="6" r:id="rId4"/>
  </sheets>
  <definedNames>
    <definedName name="_xlnm._FilterDatabase" localSheetId="0" hidden="1">bike_buyers!$A$1:$M$1001</definedName>
    <definedName name="_xlnm._FilterDatabase" localSheetId="1" hidden="1">'working sheet'!$A$1:$N$1001</definedName>
    <definedName name="Slicer_Education">#N/A</definedName>
    <definedName name="Slicer_Gender">#N/A</definedName>
    <definedName name="Slicer_Married__Status">#N/A</definedName>
    <definedName name="Slicer_Occupation">#N/A</definedName>
    <definedName name="Slicer_Region">#N/A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<sst xmlns="http://schemas.openxmlformats.org/spreadsheetml/2006/main" count="16267" uniqueCount="52">
  <si>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</si>
  <si>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</si>
  <si>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</si>
  <si>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</si>
  <si>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</si>
  <si>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</si>
  <si>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</si>
  <si>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</si>
  <si>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</si>
  <si>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</si>
  <si>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</si>
  <si>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</si>
  <si>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</si>
  <si>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</si>
  <si>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</si>
  <si>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</si>
  <si>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</si>
  <si>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</si>
  <si>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</si>
  <si>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</si>
  <si>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</si>
  <si>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</si>
  <si>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</si>
  <si>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</si>
  <si>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</si>
  <si>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</si>
  <si>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</si>
  <si>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</si>
  <si>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</si>
  <si>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</si>
  <si>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</si>
  <si>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</si>
  <si>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</si>
  <si>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</si>
  <si>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</si>
  <si>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</si>
  <si>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</si>
  <si>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</si>
  <si>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</si>
  <si>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</si>
  <si>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Row Labels</t>
  </si>
  <si>
    <t>Grand Total</t>
  </si>
  <si>
    <t>Column Labels</t>
  </si>
  <si>
    <t>Average of Income</t>
  </si>
  <si>
    <t>Married  Status</t>
  </si>
  <si>
    <t>Age Bracket</t>
  </si>
  <si>
    <t>Count of Purchased Bike</t>
  </si>
  <si>
    <t>More than 10 Miles</t>
  </si>
  <si>
    <t>Middle Age 31-54</t>
  </si>
  <si>
    <t>Old 55+</t>
  </si>
  <si>
    <t>Adolescent 0-30</t>
  </si>
  <si>
    <t>BIKE SALES DASHBORD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</si>
</sst>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i/>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0" fillId="33" borderId="0" xfId="0" applyFill="1"/>
    <xf numFmtId="0" fontId="0" fillId="33" borderId="0" xfId="0" applyFill="1" applyAlignment="1"/>
    <xf numFmtId="0" fontId="19" fillId="33"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Inc. Per</a:t>
            </a:r>
            <a:r>
              <a:rPr lang="en-US" baseline="0"/>
              <a:t> Purchase </a:t>
            </a:r>
            <a:endParaRPr lang="en-US"/>
          </a:p>
        </c:rich>
      </c:tx>
      <c:layout>
        <c:manualLayout>
          <c:xMode val="edge"/>
          <c:yMode val="edge"/>
          <c:x val="0.25230555555555556"/>
          <c:y val="0.1076839079325610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2825896762905"/>
          <c:y val="0.22027871516060493"/>
          <c:w val="0.59268285214348204"/>
          <c:h val="0.52188721201516475"/>
        </c:manualLayout>
      </c:layout>
      <c:barChart>
        <c:barDir val="col"/>
        <c:grouping val="clustered"/>
        <c:varyColors val="0"/>
        <c:ser>
          <c:idx val="0"/>
          <c:order val="0"/>
          <c:tx>
            <c:strRef>
              <c:f>Sheet4!$B$3:$B$4</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Sheet4!$A$5:$A$7</c:f>
              <c:strCache>
                <c:ptCount val="2"/>
                <c:pt idx="0">
                  <c:v>Female</c:v>
                </c:pt>
                <c:pt idx="1">
                  <c:v>Male</c:v>
                </c:pt>
              </c:strCache>
            </c:strRef>
          </c:cat>
          <c:val>
            <c:numRef>
              <c:f>Sheet4!$B$5:$B$7</c:f>
              <c:numCache>
                <c:formatCode>0</c:formatCode>
                <c:ptCount val="2"/>
                <c:pt idx="0">
                  <c:v>53440</c:v>
                </c:pt>
                <c:pt idx="1">
                  <c:v>56208.178438661707</c:v>
                </c:pt>
              </c:numCache>
            </c:numRef>
          </c:val>
          <c:extLst>
            <c:ext xmlns:c16="http://schemas.microsoft.com/office/drawing/2014/chart" uri="{C3380CC4-5D6E-409C-BE32-E72D297353CC}">
              <c16:uniqueId val="{00000000-BC58-45F4-B2D1-9CB522D14DF3}"/>
            </c:ext>
          </c:extLst>
        </c:ser>
        <c:ser>
          <c:idx val="1"/>
          <c:order val="1"/>
          <c:tx>
            <c:strRef>
              <c:f>Sheet4!$C$3:$C$4</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Sheet4!$A$5:$A$7</c:f>
              <c:strCache>
                <c:ptCount val="2"/>
                <c:pt idx="0">
                  <c:v>Female</c:v>
                </c:pt>
                <c:pt idx="1">
                  <c:v>Male</c:v>
                </c:pt>
              </c:strCache>
            </c:strRef>
          </c:cat>
          <c:val>
            <c:numRef>
              <c:f>Sheet4!$C$5:$C$7</c:f>
              <c:numCache>
                <c:formatCode>0</c:formatCode>
                <c:ptCount val="2"/>
                <c:pt idx="0">
                  <c:v>55774.058577405856</c:v>
                </c:pt>
                <c:pt idx="1">
                  <c:v>60123.966942148763</c:v>
                </c:pt>
              </c:numCache>
            </c:numRef>
          </c:val>
          <c:extLst>
            <c:ext xmlns:c16="http://schemas.microsoft.com/office/drawing/2014/chart" uri="{C3380CC4-5D6E-409C-BE32-E72D297353CC}">
              <c16:uniqueId val="{00000001-BC58-45F4-B2D1-9CB522D14DF3}"/>
            </c:ext>
          </c:extLst>
        </c:ser>
        <c:dLbls>
          <c:showLegendKey val="0"/>
          <c:showVal val="0"/>
          <c:showCatName val="0"/>
          <c:showSerName val="0"/>
          <c:showPercent val="0"/>
          <c:showBubbleSize val="0"/>
        </c:dLbls>
        <c:gapWidth val="100"/>
        <c:overlap val="-24"/>
        <c:axId val="1301249295"/>
        <c:axId val="1301246415"/>
      </c:barChart>
      <c:catAx>
        <c:axId val="130124929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246415"/>
        <c:crosses val="autoZero"/>
        <c:auto val="1"/>
        <c:lblAlgn val="ctr"/>
        <c:lblOffset val="100"/>
        <c:noMultiLvlLbl val="0"/>
      </c:catAx>
      <c:valAx>
        <c:axId val="1301246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2492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layout>
        <c:manualLayout>
          <c:xMode val="edge"/>
          <c:yMode val="edge"/>
          <c:x val="0.33770884828716796"/>
          <c:y val="5.401874107841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14260717410313E-2"/>
          <c:y val="0.14712744240303297"/>
          <c:w val="0.6735301837270341"/>
          <c:h val="0.65853091280256637"/>
        </c:manualLayout>
      </c:layout>
      <c:lineChart>
        <c:grouping val="standard"/>
        <c:varyColors val="0"/>
        <c:ser>
          <c:idx val="0"/>
          <c:order val="0"/>
          <c:tx>
            <c:strRef>
              <c:f>Sheet4!$B$20:$B$21</c:f>
              <c:strCache>
                <c:ptCount val="1"/>
                <c:pt idx="0">
                  <c:v>No</c:v>
                </c:pt>
              </c:strCache>
            </c:strRef>
          </c:tx>
          <c:spPr>
            <a:ln w="28575" cap="rnd">
              <a:solidFill>
                <a:schemeClr val="accent1"/>
              </a:solidFill>
              <a:round/>
            </a:ln>
            <a:effectLst/>
          </c:spPr>
          <c:marker>
            <c:symbol val="none"/>
          </c:marker>
          <c:cat>
            <c:strRef>
              <c:f>Sheet4!$A$22:$A$27</c:f>
              <c:strCache>
                <c:ptCount val="5"/>
                <c:pt idx="0">
                  <c:v>0-1 Miles</c:v>
                </c:pt>
                <c:pt idx="1">
                  <c:v>1-2 Miles</c:v>
                </c:pt>
                <c:pt idx="2">
                  <c:v>2-5 Miles</c:v>
                </c:pt>
                <c:pt idx="3">
                  <c:v>5-10 Miles</c:v>
                </c:pt>
                <c:pt idx="4">
                  <c:v>More than 10 Miles</c:v>
                </c:pt>
              </c:strCache>
            </c:strRef>
          </c:cat>
          <c:val>
            <c:numRef>
              <c:f>Sheet4!$B$22:$B$27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A2A-493B-814A-D1BA723CA195}"/>
            </c:ext>
          </c:extLst>
        </c:ser>
        <c:ser>
          <c:idx val="1"/>
          <c:order val="1"/>
          <c:tx>
            <c:strRef>
              <c:f>Sheet4!$C$20:$C$21</c:f>
              <c:strCache>
                <c:ptCount val="1"/>
                <c:pt idx="0">
                  <c:v>Yes</c:v>
                </c:pt>
              </c:strCache>
            </c:strRef>
          </c:tx>
          <c:spPr>
            <a:ln w="28575" cap="rnd">
              <a:solidFill>
                <a:schemeClr val="accent2"/>
              </a:solidFill>
              <a:round/>
            </a:ln>
            <a:effectLst/>
          </c:spPr>
          <c:marker>
            <c:symbol val="none"/>
          </c:marker>
          <c:cat>
            <c:strRef>
              <c:f>Sheet4!$A$22:$A$27</c:f>
              <c:strCache>
                <c:ptCount val="5"/>
                <c:pt idx="0">
                  <c:v>0-1 Miles</c:v>
                </c:pt>
                <c:pt idx="1">
                  <c:v>1-2 Miles</c:v>
                </c:pt>
                <c:pt idx="2">
                  <c:v>2-5 Miles</c:v>
                </c:pt>
                <c:pt idx="3">
                  <c:v>5-10 Miles</c:v>
                </c:pt>
                <c:pt idx="4">
                  <c:v>More than 10 Miles</c:v>
                </c:pt>
              </c:strCache>
            </c:strRef>
          </c:cat>
          <c:val>
            <c:numRef>
              <c:f>Sheet4!$C$22:$C$27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A2A-493B-814A-D1BA723CA195}"/>
            </c:ext>
          </c:extLst>
        </c:ser>
        <c:dLbls>
          <c:showLegendKey val="0"/>
          <c:showVal val="0"/>
          <c:showCatName val="0"/>
          <c:showSerName val="0"/>
          <c:showPercent val="0"/>
          <c:showBubbleSize val="0"/>
        </c:dLbls>
        <c:smooth val="0"/>
        <c:axId val="1077623679"/>
        <c:axId val="1300563567"/>
      </c:lineChart>
      <c:catAx>
        <c:axId val="1077623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a:p>
                <a:pPr>
                  <a:defRPr/>
                </a:pPr>
                <a:endParaRPr lang="en-US"/>
              </a:p>
            </c:rich>
          </c:tx>
          <c:layout>
            <c:manualLayout>
              <c:xMode val="edge"/>
              <c:yMode val="edge"/>
              <c:x val="0.36609352835749898"/>
              <c:y val="0.896162280701754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563567"/>
        <c:crosses val="autoZero"/>
        <c:auto val="1"/>
        <c:lblAlgn val="ctr"/>
        <c:lblOffset val="100"/>
        <c:noMultiLvlLbl val="0"/>
      </c:catAx>
      <c:valAx>
        <c:axId val="1300563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2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Sheet4!$A$42:$A$45</c:f>
              <c:strCache>
                <c:ptCount val="3"/>
                <c:pt idx="0">
                  <c:v>Middle Age 31-54</c:v>
                </c:pt>
                <c:pt idx="1">
                  <c:v>Old 55+</c:v>
                </c:pt>
                <c:pt idx="2">
                  <c:v>Adolescent 0-30</c:v>
                </c:pt>
              </c:strCache>
            </c:strRef>
          </c:cat>
          <c:val>
            <c:numRef>
              <c:f>Sheet4!$B$42:$B$45</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F1C8-45C1-B963-928B9EA4B7B0}"/>
            </c:ext>
          </c:extLst>
        </c:ser>
        <c:ser>
          <c:idx val="1"/>
          <c:order val="1"/>
          <c:tx>
            <c:strRef>
              <c:f>Sheet4!$C$40:$C$41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Sheet4!$A$42:$A$45</c:f>
              <c:strCache>
                <c:ptCount val="3"/>
                <c:pt idx="0">
                  <c:v>Middle Age 31-54</c:v>
                </c:pt>
                <c:pt idx="1">
                  <c:v>Old 55+</c:v>
                </c:pt>
                <c:pt idx="2">
                  <c:v>Adolescent 0-30</c:v>
                </c:pt>
              </c:strCache>
            </c:strRef>
          </c:cat>
          <c:val>
            <c:numRef>
              <c:f>Sheet4!$C$42:$C$45</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F1C8-45C1-B963-928B9EA4B7B0}"/>
            </c:ext>
          </c:extLst>
        </c:ser>
        <c:dLbls>
          <c:showLegendKey val="0"/>
          <c:showVal val="0"/>
          <c:showCatName val="0"/>
          <c:showSerName val="0"/>
          <c:showPercent val="0"/>
          <c:showBubbleSize val="0"/>
        </c:dLbls>
        <c:marker val="1"/>
        <c:smooth val="0"/>
        <c:axId val="1300570767"/>
        <c:axId val="1300564527"/>
      </c:lineChart>
      <c:catAx>
        <c:axId val="1300570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564527"/>
        <c:crosses val="autoZero"/>
        <c:auto val="1"/>
        <c:lblAlgn val="ctr"/>
        <c:lblOffset val="100"/>
        <c:noMultiLvlLbl val="0"/>
      </c:catAx>
      <c:valAx>
        <c:axId val="130056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57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Inc. Per</a:t>
            </a:r>
            <a:r>
              <a:rPr lang="en-US" baseline="0"/>
              <a:t> Purchase </a:t>
            </a:r>
            <a:endParaRPr lang="en-US"/>
          </a:p>
        </c:rich>
      </c:tx>
      <c:layout>
        <c:manualLayout>
          <c:xMode val="edge"/>
          <c:yMode val="edge"/>
          <c:x val="0.25230555555555556"/>
          <c:y val="0.1076839079325610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2825896762905"/>
          <c:y val="0.22027871516060493"/>
          <c:w val="0.59268285214348204"/>
          <c:h val="0.52188721201516475"/>
        </c:manualLayout>
      </c:layout>
      <c:barChart>
        <c:barDir val="col"/>
        <c:grouping val="clustered"/>
        <c:varyColors val="0"/>
        <c:ser>
          <c:idx val="0"/>
          <c:order val="0"/>
          <c:tx>
            <c:strRef>
              <c:f>Sheet4!$B$3:$B$4</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Sheet4!$A$5:$A$7</c:f>
              <c:strCache>
                <c:ptCount val="2"/>
                <c:pt idx="0">
                  <c:v>Female</c:v>
                </c:pt>
                <c:pt idx="1">
                  <c:v>Male</c:v>
                </c:pt>
              </c:strCache>
            </c:strRef>
          </c:cat>
          <c:val>
            <c:numRef>
              <c:f>Sheet4!$B$5:$B$7</c:f>
              <c:numCache>
                <c:formatCode>0</c:formatCode>
                <c:ptCount val="2"/>
                <c:pt idx="0">
                  <c:v>53440</c:v>
                </c:pt>
                <c:pt idx="1">
                  <c:v>56208.178438661707</c:v>
                </c:pt>
              </c:numCache>
            </c:numRef>
          </c:val>
          <c:extLst>
            <c:ext xmlns:c16="http://schemas.microsoft.com/office/drawing/2014/chart" uri="{C3380CC4-5D6E-409C-BE32-E72D297353CC}">
              <c16:uniqueId val="{00000000-B670-4E35-BD3B-75FFEC9430EF}"/>
            </c:ext>
          </c:extLst>
        </c:ser>
        <c:ser>
          <c:idx val="1"/>
          <c:order val="1"/>
          <c:tx>
            <c:strRef>
              <c:f>Sheet4!$C$3:$C$4</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Sheet4!$A$5:$A$7</c:f>
              <c:strCache>
                <c:ptCount val="2"/>
                <c:pt idx="0">
                  <c:v>Female</c:v>
                </c:pt>
                <c:pt idx="1">
                  <c:v>Male</c:v>
                </c:pt>
              </c:strCache>
            </c:strRef>
          </c:cat>
          <c:val>
            <c:numRef>
              <c:f>Sheet4!$C$5:$C$7</c:f>
              <c:numCache>
                <c:formatCode>0</c:formatCode>
                <c:ptCount val="2"/>
                <c:pt idx="0">
                  <c:v>55774.058577405856</c:v>
                </c:pt>
                <c:pt idx="1">
                  <c:v>60123.966942148763</c:v>
                </c:pt>
              </c:numCache>
            </c:numRef>
          </c:val>
          <c:extLst>
            <c:ext xmlns:c16="http://schemas.microsoft.com/office/drawing/2014/chart" uri="{C3380CC4-5D6E-409C-BE32-E72D297353CC}">
              <c16:uniqueId val="{00000001-B670-4E35-BD3B-75FFEC9430EF}"/>
            </c:ext>
          </c:extLst>
        </c:ser>
        <c:dLbls>
          <c:showLegendKey val="0"/>
          <c:showVal val="0"/>
          <c:showCatName val="0"/>
          <c:showSerName val="0"/>
          <c:showPercent val="0"/>
          <c:showBubbleSize val="0"/>
        </c:dLbls>
        <c:gapWidth val="100"/>
        <c:overlap val="-24"/>
        <c:axId val="1301249295"/>
        <c:axId val="1301246415"/>
      </c:barChart>
      <c:catAx>
        <c:axId val="130124929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000" b="1"/>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246415"/>
        <c:crosses val="autoZero"/>
        <c:auto val="1"/>
        <c:lblAlgn val="ctr"/>
        <c:lblOffset val="100"/>
        <c:noMultiLvlLbl val="0"/>
      </c:catAx>
      <c:valAx>
        <c:axId val="1301246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2492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Customer</a:t>
            </a:r>
            <a:r>
              <a:rPr lang="en-US" sz="1600" b="1" baseline="0"/>
              <a:t> Commute</a:t>
            </a:r>
          </a:p>
          <a:p>
            <a:pPr>
              <a:defRPr/>
            </a:pPr>
            <a:endParaRPr lang="en-US"/>
          </a:p>
        </c:rich>
      </c:tx>
      <c:layout>
        <c:manualLayout>
          <c:xMode val="edge"/>
          <c:yMode val="edge"/>
          <c:x val="0.33770884828716796"/>
          <c:y val="5.4018741078417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14260717410313E-2"/>
          <c:y val="0.14712744240303297"/>
          <c:w val="0.6735301837270341"/>
          <c:h val="0.65853091280256637"/>
        </c:manualLayout>
      </c:layout>
      <c:lineChart>
        <c:grouping val="standard"/>
        <c:varyColors val="0"/>
        <c:ser>
          <c:idx val="0"/>
          <c:order val="0"/>
          <c:tx>
            <c:strRef>
              <c:f>Sheet4!$B$20:$B$21</c:f>
              <c:strCache>
                <c:ptCount val="1"/>
                <c:pt idx="0">
                  <c:v>No</c:v>
                </c:pt>
              </c:strCache>
            </c:strRef>
          </c:tx>
          <c:spPr>
            <a:ln w="28575" cap="rnd">
              <a:solidFill>
                <a:schemeClr val="accent1"/>
              </a:solidFill>
              <a:round/>
            </a:ln>
            <a:effectLst/>
          </c:spPr>
          <c:marker>
            <c:symbol val="none"/>
          </c:marker>
          <c:cat>
            <c:strRef>
              <c:f>Sheet4!$A$22:$A$27</c:f>
              <c:strCache>
                <c:ptCount val="5"/>
                <c:pt idx="0">
                  <c:v>0-1 Miles</c:v>
                </c:pt>
                <c:pt idx="1">
                  <c:v>1-2 Miles</c:v>
                </c:pt>
                <c:pt idx="2">
                  <c:v>2-5 Miles</c:v>
                </c:pt>
                <c:pt idx="3">
                  <c:v>5-10 Miles</c:v>
                </c:pt>
                <c:pt idx="4">
                  <c:v>More than 10 Miles</c:v>
                </c:pt>
              </c:strCache>
            </c:strRef>
          </c:cat>
          <c:val>
            <c:numRef>
              <c:f>Sheet4!$B$22:$B$27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C28-4613-8256-D1708FFAC992}"/>
            </c:ext>
          </c:extLst>
        </c:ser>
        <c:ser>
          <c:idx val="1"/>
          <c:order val="1"/>
          <c:tx>
            <c:strRef>
              <c:f>Sheet4!$C$20:$C$21</c:f>
              <c:strCache>
                <c:ptCount val="1"/>
                <c:pt idx="0">
                  <c:v>Yes</c:v>
                </c:pt>
              </c:strCache>
            </c:strRef>
          </c:tx>
          <c:spPr>
            <a:ln w="28575" cap="rnd">
              <a:solidFill>
                <a:schemeClr val="accent2"/>
              </a:solidFill>
              <a:round/>
            </a:ln>
            <a:effectLst/>
          </c:spPr>
          <c:marker>
            <c:symbol val="none"/>
          </c:marker>
          <c:cat>
            <c:strRef>
              <c:f>Sheet4!$A$22:$A$27</c:f>
              <c:strCache>
                <c:ptCount val="5"/>
                <c:pt idx="0">
                  <c:v>0-1 Miles</c:v>
                </c:pt>
                <c:pt idx="1">
                  <c:v>1-2 Miles</c:v>
                </c:pt>
                <c:pt idx="2">
                  <c:v>2-5 Miles</c:v>
                </c:pt>
                <c:pt idx="3">
                  <c:v>5-10 Miles</c:v>
                </c:pt>
                <c:pt idx="4">
                  <c:v>More than 10 Miles</c:v>
                </c:pt>
              </c:strCache>
            </c:strRef>
          </c:cat>
          <c:val>
            <c:numRef>
              <c:f>Sheet4!$C$22:$C$27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C28-4613-8256-D1708FFAC992}"/>
            </c:ext>
          </c:extLst>
        </c:ser>
        <c:dLbls>
          <c:showLegendKey val="0"/>
          <c:showVal val="0"/>
          <c:showCatName val="0"/>
          <c:showSerName val="0"/>
          <c:showPercent val="0"/>
          <c:showBubbleSize val="0"/>
        </c:dLbls>
        <c:smooth val="0"/>
        <c:axId val="1077623679"/>
        <c:axId val="1300563567"/>
      </c:lineChart>
      <c:catAx>
        <c:axId val="1077623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Commute Distance</a:t>
                </a:r>
              </a:p>
              <a:p>
                <a:pPr>
                  <a:defRPr/>
                </a:pPr>
                <a:endParaRPr lang="en-US"/>
              </a:p>
            </c:rich>
          </c:tx>
          <c:layout>
            <c:manualLayout>
              <c:xMode val="edge"/>
              <c:yMode val="edge"/>
              <c:x val="0.36609352835749898"/>
              <c:y val="0.896162280701754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563567"/>
        <c:crosses val="autoZero"/>
        <c:auto val="1"/>
        <c:lblAlgn val="ctr"/>
        <c:lblOffset val="100"/>
        <c:noMultiLvlLbl val="0"/>
      </c:catAx>
      <c:valAx>
        <c:axId val="1300563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62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Dataset.xlsx]Sheet4!PivotTable5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Sheet4!$A$42:$A$45</c:f>
              <c:strCache>
                <c:ptCount val="3"/>
                <c:pt idx="0">
                  <c:v>Middle Age 31-54</c:v>
                </c:pt>
                <c:pt idx="1">
                  <c:v>Old 55+</c:v>
                </c:pt>
                <c:pt idx="2">
                  <c:v>Adolescent 0-30</c:v>
                </c:pt>
              </c:strCache>
            </c:strRef>
          </c:cat>
          <c:val>
            <c:numRef>
              <c:f>Sheet4!$B$42:$B$45</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7A96-4A9C-B1B2-9EA1EFC479CB}"/>
            </c:ext>
          </c:extLst>
        </c:ser>
        <c:ser>
          <c:idx val="1"/>
          <c:order val="1"/>
          <c:tx>
            <c:strRef>
              <c:f>Sheet4!$C$40:$C$41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Sheet4!$A$42:$A$45</c:f>
              <c:strCache>
                <c:ptCount val="3"/>
                <c:pt idx="0">
                  <c:v>Middle Age 31-54</c:v>
                </c:pt>
                <c:pt idx="1">
                  <c:v>Old 55+</c:v>
                </c:pt>
                <c:pt idx="2">
                  <c:v>Adolescent 0-30</c:v>
                </c:pt>
              </c:strCache>
            </c:strRef>
          </c:cat>
          <c:val>
            <c:numRef>
              <c:f>Sheet4!$C$42:$C$45</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7A96-4A9C-B1B2-9EA1EFC479CB}"/>
            </c:ext>
          </c:extLst>
        </c:ser>
        <c:dLbls>
          <c:showLegendKey val="0"/>
          <c:showVal val="0"/>
          <c:showCatName val="0"/>
          <c:showSerName val="0"/>
          <c:showPercent val="0"/>
          <c:showBubbleSize val="0"/>
        </c:dLbls>
        <c:marker val="1"/>
        <c:smooth val="0"/>
        <c:axId val="1300570767"/>
        <c:axId val="1300564527"/>
      </c:lineChart>
      <c:catAx>
        <c:axId val="13005707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Age</a:t>
                </a:r>
                <a:r>
                  <a:rPr lang="en-US" sz="1400" b="1" baseline="0"/>
                  <a:t> Bracket</a:t>
                </a:r>
                <a:endParaRPr lang="en-US" sz="1400" b="1"/>
              </a:p>
            </c:rich>
          </c:tx>
          <c:layout>
            <c:manualLayout>
              <c:xMode val="edge"/>
              <c:yMode val="edge"/>
              <c:x val="0.4201840331308373"/>
              <c:y val="0.8645545950118250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564527"/>
        <c:crosses val="autoZero"/>
        <c:auto val="1"/>
        <c:lblAlgn val="ctr"/>
        <c:lblOffset val="100"/>
        <c:noMultiLvlLbl val="0"/>
      </c:catAx>
      <c:valAx>
        <c:axId val="130056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57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22860</xdr:colOff>
      <xdr:row>0</xdr:row>
      <xdr:rowOff>0</xdr:rowOff>
    </xdr:from>
    <xdr:to>
      <xdr:col>12</xdr:col>
      <xdr:colOff>327660</xdr:colOff>
      <xdr:row>16</xdr:row>
      <xdr:rowOff>114300</xdr:rowOff>
    </xdr:to>
    <xdr:graphicFrame macro="">
      <xdr:nvGraphicFramePr>
        <xdr:cNvPr id="2" name="Chart 1">
          <a:extLst>
            <a:ext uri="{FF2B5EF4-FFF2-40B4-BE49-F238E27FC236}">
              <a16:creationId xmlns:a16="http://schemas.microsoft.com/office/drawing/2014/main" id="{4ACB4EF2-D202-4F43-CD22-554226C8C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480060</xdr:colOff>
      <xdr:row>17</xdr:row>
      <xdr:rowOff>30480</xdr:rowOff>
    </xdr:from>
    <xdr:to>
      <xdr:col>13</xdr:col>
      <xdr:colOff>99060</xdr:colOff>
      <xdr:row>36</xdr:row>
      <xdr:rowOff>30480</xdr:rowOff>
    </xdr:to>
    <xdr:graphicFrame macro="">
      <xdr:nvGraphicFramePr>
        <xdr:cNvPr id="3" name="Chart 2">
          <a:extLst>
            <a:ext uri="{FF2B5EF4-FFF2-40B4-BE49-F238E27FC236}">
              <a16:creationId xmlns:a16="http://schemas.microsoft.com/office/drawing/2014/main" id="{4C78023B-9D0B-80AB-CC0C-CFED61FF8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411480</xdr:colOff>
      <xdr:row>37</xdr:row>
      <xdr:rowOff>160020</xdr:rowOff>
    </xdr:from>
    <xdr:to>
      <xdr:col>12</xdr:col>
      <xdr:colOff>106680</xdr:colOff>
      <xdr:row>52</xdr:row>
      <xdr:rowOff>160020</xdr:rowOff>
    </xdr:to>
    <xdr:graphicFrame macro="">
      <xdr:nvGraphicFramePr>
        <xdr:cNvPr id="4" name="Chart 3">
          <a:extLst>
            <a:ext uri="{FF2B5EF4-FFF2-40B4-BE49-F238E27FC236}">
              <a16:creationId xmlns:a16="http://schemas.microsoft.com/office/drawing/2014/main" id="{B1C59D70-8281-67C0-DB3A-C6B75D3F5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27878</xdr:colOff>
      <xdr:row>3</xdr:row>
      <xdr:rowOff>33825</xdr:rowOff>
    </xdr:from>
    <xdr:to>
      <xdr:col>12</xdr:col>
      <xdr:colOff>213732</xdr:colOff>
      <xdr:row>22</xdr:row>
      <xdr:rowOff>74342</xdr:rowOff>
    </xdr:to>
    <xdr:graphicFrame macro="">
      <xdr:nvGraphicFramePr>
        <xdr:cNvPr id="2" name="Chart 1">
          <a:extLst>
            <a:ext uri="{FF2B5EF4-FFF2-40B4-BE49-F238E27FC236}">
              <a16:creationId xmlns:a16="http://schemas.microsoft.com/office/drawing/2014/main" id="{E39AECD3-9EFF-45AB-A415-74D864872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278780</xdr:colOff>
      <xdr:row>3</xdr:row>
      <xdr:rowOff>33824</xdr:rowOff>
    </xdr:from>
    <xdr:to>
      <xdr:col>19</xdr:col>
      <xdr:colOff>602537</xdr:colOff>
      <xdr:row>22</xdr:row>
      <xdr:rowOff>92926</xdr:rowOff>
    </xdr:to>
    <xdr:graphicFrame macro="">
      <xdr:nvGraphicFramePr>
        <xdr:cNvPr id="3" name="Chart 2">
          <a:extLst>
            <a:ext uri="{FF2B5EF4-FFF2-40B4-BE49-F238E27FC236}">
              <a16:creationId xmlns:a16="http://schemas.microsoft.com/office/drawing/2014/main" id="{94563B99-AA87-40E4-B3B9-C2321D8A0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37169</xdr:colOff>
      <xdr:row>22</xdr:row>
      <xdr:rowOff>139390</xdr:rowOff>
    </xdr:from>
    <xdr:to>
      <xdr:col>19</xdr:col>
      <xdr:colOff>604024</xdr:colOff>
      <xdr:row>40</xdr:row>
      <xdr:rowOff>128789</xdr:rowOff>
    </xdr:to>
    <xdr:graphicFrame macro="">
      <xdr:nvGraphicFramePr>
        <xdr:cNvPr id="4" name="Chart 3">
          <a:extLst>
            <a:ext uri="{FF2B5EF4-FFF2-40B4-BE49-F238E27FC236}">
              <a16:creationId xmlns:a16="http://schemas.microsoft.com/office/drawing/2014/main" id="{F737D1A4-6858-4556-A859-ED746AB67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42935</xdr:colOff>
      <xdr:row>3</xdr:row>
      <xdr:rowOff>25330</xdr:rowOff>
    </xdr:from>
    <xdr:to>
      <xdr:col>4</xdr:col>
      <xdr:colOff>9437</xdr:colOff>
      <xdr:row>8</xdr:row>
      <xdr:rowOff>160986</xdr:rowOff>
    </xdr:to>
    <mc:AlternateContent xmlns:mc="http://schemas.openxmlformats.org/markup-compatibility/2006" xmlns:a14="http://schemas.microsoft.com/office/drawing/2010/main">
      <mc:Choice Requires="a14">
        <xdr:graphicFrame macro="">
          <xdr:nvGraphicFramePr>
            <xdr:cNvPr id="5" name="Married  Status">
              <a:extLst>
                <a:ext uri="{FF2B5EF4-FFF2-40B4-BE49-F238E27FC236}">
                  <a16:creationId xmlns:a16="http://schemas.microsoft.com/office/drawing/2014/main" id="{AD4BE0C9-74CE-EF77-2163-44C4006AED3C}"/>
                </a:ext>
              </a:extLst>
            </xdr:cNvPr>
            <xdr:cNvGraphicFramePr/>
          </xdr:nvGraphicFramePr>
          <xdr:xfrm>
            <a:off x="0" y="0"/>
            <a:ext cx="0" cy="0"/>
          </xdr:xfrm>
          <a:graphic>
            <a:graphicData uri="http://schemas.microsoft.com/office/drawing/2010/slicer">
              <sle:slicer xmlns:sle="http://schemas.microsoft.com/office/drawing/2010/slicer" name="Married  Status"/>
            </a:graphicData>
          </a:graphic>
        </xdr:graphicFrame>
      </mc:Choice>
      <mc:Fallback xmlns="">
        <xdr:sp macro="" textlink="">
          <xdr:nvSpPr>
            <xdr:cNvPr id="0" name=""/>
            <xdr:cNvSpPr>
              <a:spLocks noTextEdit="1"/>
            </xdr:cNvSpPr>
          </xdr:nvSpPr>
          <xdr:spPr>
            <a:xfrm>
              <a:off x="42935" y="787330"/>
              <a:ext cx="2404902" cy="1050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32197</xdr:colOff>
      <xdr:row>9</xdr:row>
      <xdr:rowOff>25329</xdr:rowOff>
    </xdr:from>
    <xdr:to>
      <xdr:col>3</xdr:col>
      <xdr:colOff>599726</xdr:colOff>
      <xdr:row>14</xdr:row>
      <xdr:rowOff>128789</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EDA6FAD2-5921-B2BD-FE90-A2EF4546B37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2197" y="1884609"/>
              <a:ext cx="2396329" cy="1017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45928</xdr:colOff>
      <xdr:row>14</xdr:row>
      <xdr:rowOff>178587</xdr:rowOff>
    </xdr:from>
    <xdr:to>
      <xdr:col>3</xdr:col>
      <xdr:colOff>599733</xdr:colOff>
      <xdr:row>24</xdr:row>
      <xdr:rowOff>75127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114AD549-11AA-3E96-5BB5-A99D39241BE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5928" y="2952267"/>
              <a:ext cx="2382605" cy="1725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43026</xdr:colOff>
      <xdr:row>24</xdr:row>
      <xdr:rowOff>100563</xdr:rowOff>
    </xdr:from>
    <xdr:to>
      <xdr:col>3</xdr:col>
      <xdr:colOff>589005</xdr:colOff>
      <xdr:row>31</xdr:row>
      <xdr:rowOff>21466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3FF9D2C-53BC-DFBD-E70A-A611BE4777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026" y="4703043"/>
              <a:ext cx="2374779" cy="1201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38585</xdr:colOff>
      <xdr:row>31</xdr:row>
      <xdr:rowOff>34695</xdr:rowOff>
    </xdr:from>
    <xdr:to>
      <xdr:col>3</xdr:col>
      <xdr:colOff>599872</xdr:colOff>
      <xdr:row>40</xdr:row>
      <xdr:rowOff>139521</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8D32B3E0-EE91-FDB5-C0F1-64B9575B234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38585" y="5917335"/>
              <a:ext cx="2390087" cy="1750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jjaval Bhardwaj" refreshedDate="46019.675209606481" createdVersion="8" refreshedVersion="8" minRefreshableVersion="3" recordCount="1000" xr:uid="{713FC7CB-BB6D-4BCC-BDAF-3535E5A203BE}">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242944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E1D6D9-78CB-41D0-8AA9-3D0D467B5164}"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D45"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pivotField showAll="0">
      <items count="6">
        <item x="1"/>
        <item x="4"/>
        <item x="3"/>
        <item x="2"/>
        <item x="0"/>
        <item t="default"/>
      </items>
    </pivotField>
    <pivotField showAll="0"/>
    <pivotField showAll="0"/>
    <pivotField showAll="0"/>
    <pivotField showAll="0"/>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5E4799-E88E-44A1-A678-7DE6364E31ED}"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EBD1BE-B896-4FA3-9EB4-BEF0DF88ACC5}"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0">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_Status" xr10:uid="{049F75C1-AB2D-4B47-9C79-D3B31ABF7709}" sourceName="Married  Status">
  <pivotTables>
    <pivotTable tabId="5" name="PivotTable4"/>
    <pivotTable tabId="5" name="PivotTable3"/>
    <pivotTable tabId="5" name="PivotTable5"/>
  </pivotTables>
  <data>
    <tabular pivotCacheId="2429442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07C794A-E786-4AD0-8A2B-EDB6AB5954B9}" sourceName="Gender">
  <pivotTables>
    <pivotTable tabId="5" name="PivotTable3"/>
    <pivotTable tabId="5" name="PivotTable4"/>
    <pivotTable tabId="5" name="PivotTable5"/>
  </pivotTables>
  <data>
    <tabular pivotCacheId="24294420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9B09CDE-1F06-44E5-89B8-07090D4B2CA0}" sourceName="Education">
  <pivotTables>
    <pivotTable tabId="5" name="PivotTable3"/>
  </pivotTables>
  <data>
    <tabular pivotCacheId="242944201">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DFC343-07AC-49C0-A213-01C0C1110782}" sourceName="Region">
  <pivotTables>
    <pivotTable tabId="5" name="PivotTable3"/>
  </pivotTables>
  <data>
    <tabular pivotCacheId="24294420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D2860945-BA08-40D5-996E-C77281FC807B}" sourceName="Occupation">
  <pivotTables>
    <pivotTable tabId="5" name="PivotTable5"/>
    <pivotTable tabId="5" name="PivotTable3"/>
    <pivotTable tabId="5" name="PivotTable4"/>
  </pivotTables>
  <data>
    <tabular pivotCacheId="242944201">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  Status" xr10:uid="{C5BD94AE-12F4-490E-A5F3-0F49809BA336}" cache="Slicer_Married__Status" caption="Married  Status" style="SlicerStyleDark2" rowHeight="234950"/>
  <slicer name="Gender" xr10:uid="{4D02019E-0BFA-4F31-9CBD-D4B7DEEF6C35}" cache="Slicer_Gender" caption="Gender" style="SlicerStyleDark6" rowHeight="234950"/>
  <slicer name="Education" xr10:uid="{41B4DC98-AB8A-4A6C-8DDC-17C4970D7FFE}" cache="Slicer_Education" caption="Education" style="SlicerStyleDark5" rowHeight="234950"/>
  <slicer name="Region" xr10:uid="{0902F956-7C39-4C2A-9F98-84D06B56C4C8}" cache="Slicer_Region" caption="Region" style="SlicerStyleLight6" rowHeight="234950"/>
  <slicer name="Occupation" xr10:uid="{6F225C57-54EE-4A73-822C-0C55BB9F1865}" cache="Slicer_Occupation" caption="Occupation" style="SlicerStyleLight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sqref="A1:M1027"/>
    </sheetView>
  </sheetViews>
  <sheetFormatPr defaultColWidth="11.88671875" defaultRowHeight="14.4" x14ac:dyDescent="0.3"/>
  <cols>
    <col min="6" max="6" width="17.6640625" customWidth="1"/>
    <col min="7" max="7" width="19.3320312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89E40-7F43-4501-B072-1EDB4B836764}">
  <dimension ref="A1:N1001"/>
  <sheetViews>
    <sheetView topLeftCell="B1" workbookViewId="0">
      <selection activeCell="H14" sqref="H14"/>
    </sheetView>
  </sheetViews>
  <sheetFormatPr defaultRowHeight="14.4" x14ac:dyDescent="0.3"/>
  <cols>
    <col min="1" max="1" width="8.6640625" customWidth="1"/>
    <col min="2" max="2" width="22.109375" customWidth="1"/>
    <col min="3" max="3" width="11.5546875" customWidth="1"/>
    <col min="4" max="4" width="11" style="3" bestFit="1" customWidth="1"/>
    <col min="5" max="5" width="14.44140625" customWidth="1"/>
    <col min="6" max="6" width="16.21875" bestFit="1" customWidth="1"/>
    <col min="7" max="7" width="16.5546875" customWidth="1"/>
    <col min="8" max="8" width="15.33203125" customWidth="1"/>
    <col min="9" max="9" width="9.5546875" customWidth="1"/>
    <col min="10" max="10" width="16.5546875" bestFit="1" customWidth="1"/>
    <col min="11" max="11" width="12.88671875" bestFit="1" customWidth="1"/>
    <col min="12" max="12" width="12.109375" customWidth="1"/>
    <col min="13" max="13" width="16.77734375" customWidth="1"/>
    <col min="14" max="14" width="15.5546875" customWidth="1"/>
  </cols>
  <sheetData>
    <row r="1" spans="1:14" x14ac:dyDescent="0.3">
      <c r="A1" t="s">
        <v>0</v>
      </c>
      <c r="B1" t="s">
        <v>44</v>
      </c>
      <c r="C1" t="s">
        <v>2</v>
      </c>
      <c r="D1" s="3" t="s">
        <v>3</v>
      </c>
      <c r="E1" t="s">
        <v>4</v>
      </c>
      <c r="F1" t="s">
        <v>5</v>
      </c>
      <c r="G1" t="s">
        <v>6</v>
      </c>
      <c r="H1" t="s">
        <v>7</v>
      </c>
      <c r="I1" t="s">
        <v>8</v>
      </c>
      <c r="J1" t="s">
        <v>9</v>
      </c>
      <c r="K1" t="s">
        <v>10</v>
      </c>
      <c r="L1" t="s">
        <v>11</v>
      </c>
      <c r="M1" t="s">
        <v>45</v>
      </c>
      <c r="N1" t="s">
        <v>12</v>
      </c>
    </row>
    <row r="2" spans="1:14" x14ac:dyDescent="0.3">
      <c r="A2">
        <v>12496</v>
      </c>
      <c r="B2" t="s">
        <v>36</v>
      </c>
      <c r="C2" t="s">
        <v>38</v>
      </c>
      <c r="D2" s="3">
        <v>40000</v>
      </c>
      <c r="E2">
        <v>1</v>
      </c>
      <c r="F2" t="s">
        <v>13</v>
      </c>
      <c r="G2" t="s">
        <v>14</v>
      </c>
      <c r="H2" t="s">
        <v>15</v>
      </c>
      <c r="I2">
        <v>0</v>
      </c>
      <c r="J2" t="s">
        <v>16</v>
      </c>
      <c r="K2" t="s">
        <v>17</v>
      </c>
      <c r="L2">
        <v>42</v>
      </c>
      <c r="M2" t="str">
        <f>IF(L2&gt;54,"Old 55+",  IF(L2&gt;=31,"Middle Age 31-54",      IF(L2&lt;31,"Adolescent 0-30","Invalid")))</f>
        <v>Middle Age 31-54</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 55+",  IF(L3&gt;=31,"Middle Age 31-54",      IF(L3&lt;31,"Adolescent 0-30","Invalid")))</f>
        <v>Middle Age 31-54</v>
      </c>
      <c r="N3" t="s">
        <v>18</v>
      </c>
    </row>
    <row r="4" spans="1:14" x14ac:dyDescent="0.3">
      <c r="A4">
        <v>14177</v>
      </c>
      <c r="B4" t="s">
        <v>36</v>
      </c>
      <c r="C4" t="s">
        <v>39</v>
      </c>
      <c r="D4" s="3">
        <v>80000</v>
      </c>
      <c r="E4">
        <v>5</v>
      </c>
      <c r="F4" t="s">
        <v>19</v>
      </c>
      <c r="G4" t="s">
        <v>21</v>
      </c>
      <c r="H4" t="s">
        <v>18</v>
      </c>
      <c r="I4">
        <v>2</v>
      </c>
      <c r="J4" t="s">
        <v>22</v>
      </c>
      <c r="K4" t="s">
        <v>17</v>
      </c>
      <c r="L4">
        <v>60</v>
      </c>
      <c r="M4" t="str">
        <f t="shared" si="0"/>
        <v>Old 55+</v>
      </c>
      <c r="N4" t="s">
        <v>18</v>
      </c>
    </row>
    <row r="5" spans="1:14" x14ac:dyDescent="0.3">
      <c r="A5">
        <v>24381</v>
      </c>
      <c r="B5" t="s">
        <v>37</v>
      </c>
      <c r="C5" t="s">
        <v>39</v>
      </c>
      <c r="D5" s="3">
        <v>70000</v>
      </c>
      <c r="E5">
        <v>0</v>
      </c>
      <c r="F5" t="s">
        <v>13</v>
      </c>
      <c r="G5" t="s">
        <v>21</v>
      </c>
      <c r="H5" t="s">
        <v>15</v>
      </c>
      <c r="I5">
        <v>1</v>
      </c>
      <c r="J5" t="s">
        <v>23</v>
      </c>
      <c r="K5" t="s">
        <v>24</v>
      </c>
      <c r="L5">
        <v>41</v>
      </c>
      <c r="M5" t="str">
        <f t="shared" si="0"/>
        <v>Middle Age 31-54</v>
      </c>
      <c r="N5" t="s">
        <v>15</v>
      </c>
    </row>
    <row r="6" spans="1:14" x14ac:dyDescent="0.3">
      <c r="A6">
        <v>25597</v>
      </c>
      <c r="B6" t="s">
        <v>37</v>
      </c>
      <c r="C6" t="s">
        <v>39</v>
      </c>
      <c r="D6" s="3">
        <v>30000</v>
      </c>
      <c r="E6">
        <v>0</v>
      </c>
      <c r="F6" t="s">
        <v>13</v>
      </c>
      <c r="G6" t="s">
        <v>20</v>
      </c>
      <c r="H6" t="s">
        <v>18</v>
      </c>
      <c r="I6">
        <v>0</v>
      </c>
      <c r="J6" t="s">
        <v>16</v>
      </c>
      <c r="K6" t="s">
        <v>17</v>
      </c>
      <c r="L6">
        <v>36</v>
      </c>
      <c r="M6" t="str">
        <f t="shared" si="0"/>
        <v>Middle Age 31-54</v>
      </c>
      <c r="N6" t="s">
        <v>15</v>
      </c>
    </row>
    <row r="7" spans="1:14" x14ac:dyDescent="0.3">
      <c r="A7">
        <v>13507</v>
      </c>
      <c r="B7" t="s">
        <v>36</v>
      </c>
      <c r="C7" t="s">
        <v>38</v>
      </c>
      <c r="D7" s="3">
        <v>10000</v>
      </c>
      <c r="E7">
        <v>2</v>
      </c>
      <c r="F7" t="s">
        <v>19</v>
      </c>
      <c r="G7" t="s">
        <v>25</v>
      </c>
      <c r="H7" t="s">
        <v>15</v>
      </c>
      <c r="I7">
        <v>0</v>
      </c>
      <c r="J7" t="s">
        <v>26</v>
      </c>
      <c r="K7" t="s">
        <v>17</v>
      </c>
      <c r="L7">
        <v>50</v>
      </c>
      <c r="M7" t="str">
        <f t="shared" si="0"/>
        <v>Middle Age 31-54</v>
      </c>
      <c r="N7" t="s">
        <v>18</v>
      </c>
    </row>
    <row r="8" spans="1:14" x14ac:dyDescent="0.3">
      <c r="A8">
        <v>27974</v>
      </c>
      <c r="B8" t="s">
        <v>37</v>
      </c>
      <c r="C8" t="s">
        <v>39</v>
      </c>
      <c r="D8" s="3">
        <v>160000</v>
      </c>
      <c r="E8">
        <v>2</v>
      </c>
      <c r="F8" t="s">
        <v>27</v>
      </c>
      <c r="G8" t="s">
        <v>28</v>
      </c>
      <c r="H8" t="s">
        <v>15</v>
      </c>
      <c r="I8">
        <v>4</v>
      </c>
      <c r="J8" t="s">
        <v>16</v>
      </c>
      <c r="K8" t="s">
        <v>24</v>
      </c>
      <c r="L8">
        <v>33</v>
      </c>
      <c r="M8" t="str">
        <f t="shared" si="0"/>
        <v>Middle Age 31-54</v>
      </c>
      <c r="N8" t="s">
        <v>15</v>
      </c>
    </row>
    <row r="9" spans="1:14" x14ac:dyDescent="0.3">
      <c r="A9">
        <v>19364</v>
      </c>
      <c r="B9" t="s">
        <v>36</v>
      </c>
      <c r="C9" t="s">
        <v>39</v>
      </c>
      <c r="D9" s="3">
        <v>40000</v>
      </c>
      <c r="E9">
        <v>1</v>
      </c>
      <c r="F9" t="s">
        <v>13</v>
      </c>
      <c r="G9" t="s">
        <v>14</v>
      </c>
      <c r="H9" t="s">
        <v>15</v>
      </c>
      <c r="I9">
        <v>0</v>
      </c>
      <c r="J9" t="s">
        <v>16</v>
      </c>
      <c r="K9" t="s">
        <v>17</v>
      </c>
      <c r="L9">
        <v>43</v>
      </c>
      <c r="M9" t="str">
        <f t="shared" si="0"/>
        <v>Middle Age 31-54</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 31-54</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 55+</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 31-54</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 0-30</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 0-30</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 0-30</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 0-30</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 0-30</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 31-54</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 31-54</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 31-54</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 55+",  IF(L67&gt;=31,"Middle Age 31-54",      IF(L67&lt;31,"Adolescent 0-30","Invalid")))</f>
        <v>Old 55+</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 0-30</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 31-54</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 0-30</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 0-30</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 0-30</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 0-30</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 0-30</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 0-30</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 55+</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 55+</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 31-54</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 55+",  IF(L131&gt;=31,"Middle Age 31-54",      IF(L131&lt;31,"Adolescent 0-30","Invalid")))</f>
        <v>Middle Age 31-54</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 31-54</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 31-54</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 55+</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 55+</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 55+</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 31-54</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 55+</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IF(L195&gt;54,"Old 55+",  IF(L195&gt;=31,"Middle Age 31-54",      IF(L195&lt;31,"Adolescent 0-30","Invalid")))</f>
        <v>Middle Age 31-54</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 31-54</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 55+</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 31-54</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 31-54</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 55+</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 55+</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 31-54</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 31-54</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 31-54</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 55+</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 55+",  IF(L259&gt;=31,"Middle Age 31-54",      IF(L259&lt;31,"Adolescent 0-30","Invalid")))</f>
        <v>Middle Age 31-54</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 55+</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 31-54</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 31-54</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 31-54</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 31-54</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 55+",  IF(L323&gt;=31,"Middle Age 31-54",      IF(L323&lt;31,"Adolescent 0-30","Invalid")))</f>
        <v>Middle Age 31-54</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 55+</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 31-54</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 31-54</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 0-30</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 31-54</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 0-30</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 31-54</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 55+",  IF(L387&gt;=31,"Middle Age 31-54",      IF(L387&lt;31,"Adolescent 0-30","Invalid")))</f>
        <v>Middle Age 31-54</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 31-54</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 31-54</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 55+</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 31-54</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 31-54</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 31-54</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 31-54</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 55+",  IF(L451&gt;=31,"Middle Age 31-54",      IF(L451&lt;31,"Adolescent 0-30","Invalid")))</f>
        <v>Middle Age 31-54</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 31-54</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 31-54</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 55+</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 55+</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 55+</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IF(L515&gt;54,"Old 55+",  IF(L515&gt;=31,"Middle Age 31-54",      IF(L515&lt;31,"Adolescent 0-30","Invalid")))</f>
        <v>Old 55+</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 55+</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 55+</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 55+</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 55+</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 55+</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 31-54</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 55+</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 31-54</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 55+</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 55+</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 55+</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 55+",  IF(L579&gt;=31,"Middle Age 31-54",      IF(L579&lt;31,"Adolescent 0-30","Invalid")))</f>
        <v>Middle Age 31-54</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 55+</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 55+</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 31-54</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 55+</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 55+</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 31-54</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IF(L643&gt;54,"Old 55+",  IF(L643&gt;=31,"Middle Age 31-54",      IF(L643&lt;31,"Adolescent 0-30","Invalid")))</f>
        <v>Old 55+</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 31-54</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 55+</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 55+</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 55+</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 55+</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 55+</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IF(L707&gt;54,"Old 55+",  IF(L707&gt;=31,"Middle Age 31-54",      IF(L707&lt;31,"Adolescent 0-30","Invalid")))</f>
        <v>Old 55+</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 55+</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 55+</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 55+</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 55+</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 55+</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 55+</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 55+</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 31-54</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 55+",  IF(L771&gt;=31,"Middle Age 31-54",      IF(L771&lt;31,"Adolescent 0-30","Invalid")))</f>
        <v>Middle Age 31-54</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 31-54</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 55+</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 55+</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 31-54</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 55+",  IF(L835&gt;=31,"Middle Age 31-54",      IF(L835&lt;31,"Adolescent 0-30","Invalid")))</f>
        <v>Middle Age 31-54</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 31-54</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 55+</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 55+</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 55+</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 55+</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 55+",  IF(L899&gt;=31,"Middle Age 31-54",      IF(L899&lt;31,"Adolescent 0-30","Invalid")))</f>
        <v>Adolescent 0-30</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 55+</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 31-54</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 55+</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 55+</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 55+</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 55+</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 31-54</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 31-54</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 55+",  IF(L963&gt;=31,"Middle Age 31-54",      IF(L963&lt;31,"Adolescent 0-30","Invalid")))</f>
        <v>Old 55+</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 55+</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 55+</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 55+</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 31-54</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 55+</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 55+</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 55+</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 31-54</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 31-54</v>
      </c>
      <c r="N1001" t="s">
        <v>15</v>
      </c>
    </row>
  </sheetData>
  <autoFilter ref="A1:N1001" xr:uid="{77489E40-7F43-4501-B072-1EDB4B83676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D1782-E037-4C5D-80E1-242990175FC1}">
  <dimension ref="A3:D45"/>
  <sheetViews>
    <sheetView workbookViewId="0">
      <selection activeCell="B46" sqref="B4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42</v>
      </c>
    </row>
    <row r="4" spans="1:4" x14ac:dyDescent="0.3">
      <c r="A4" s="4" t="s">
        <v>40</v>
      </c>
      <c r="B4" t="s">
        <v>18</v>
      </c>
      <c r="C4" t="s">
        <v>15</v>
      </c>
      <c r="D4" t="s">
        <v>41</v>
      </c>
    </row>
    <row r="5" spans="1:4" x14ac:dyDescent="0.3">
      <c r="A5" s="5" t="s">
        <v>38</v>
      </c>
      <c r="B5" s="7">
        <v>53440</v>
      </c>
      <c r="C5" s="7">
        <v>55774.058577405856</v>
      </c>
      <c r="D5" s="7">
        <v>54580.777096114522</v>
      </c>
    </row>
    <row r="6" spans="1:4" x14ac:dyDescent="0.3">
      <c r="A6" s="5" t="s">
        <v>39</v>
      </c>
      <c r="B6" s="7">
        <v>56208.178438661707</v>
      </c>
      <c r="C6" s="7">
        <v>60123.966942148763</v>
      </c>
      <c r="D6" s="7">
        <v>58062.62230919765</v>
      </c>
    </row>
    <row r="7" spans="1:4" x14ac:dyDescent="0.3">
      <c r="A7" s="5" t="s">
        <v>41</v>
      </c>
      <c r="B7" s="6">
        <v>54874.759152215796</v>
      </c>
      <c r="C7" s="6">
        <v>57962.577962577961</v>
      </c>
      <c r="D7" s="6">
        <v>56360</v>
      </c>
    </row>
    <row r="20" spans="1:4" x14ac:dyDescent="0.3">
      <c r="A20" s="4" t="s">
        <v>46</v>
      </c>
      <c r="B20" s="4" t="s">
        <v>42</v>
      </c>
    </row>
    <row r="21" spans="1:4" x14ac:dyDescent="0.3">
      <c r="A21" s="4" t="s">
        <v>40</v>
      </c>
      <c r="B21" t="s">
        <v>18</v>
      </c>
      <c r="C21" t="s">
        <v>15</v>
      </c>
      <c r="D21" t="s">
        <v>41</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47</v>
      </c>
      <c r="B26" s="6">
        <v>78</v>
      </c>
      <c r="C26" s="6">
        <v>33</v>
      </c>
      <c r="D26" s="6">
        <v>111</v>
      </c>
    </row>
    <row r="27" spans="1:4" x14ac:dyDescent="0.3">
      <c r="A27" s="5" t="s">
        <v>41</v>
      </c>
      <c r="B27" s="6">
        <v>519</v>
      </c>
      <c r="C27" s="6">
        <v>481</v>
      </c>
      <c r="D27" s="6">
        <v>1000</v>
      </c>
    </row>
    <row r="40" spans="1:4" x14ac:dyDescent="0.3">
      <c r="A40" s="4" t="s">
        <v>46</v>
      </c>
      <c r="B40" s="4" t="s">
        <v>42</v>
      </c>
    </row>
    <row r="41" spans="1:4" x14ac:dyDescent="0.3">
      <c r="A41" s="4" t="s">
        <v>40</v>
      </c>
      <c r="B41" t="s">
        <v>18</v>
      </c>
      <c r="C41" t="s">
        <v>15</v>
      </c>
      <c r="D41" t="s">
        <v>41</v>
      </c>
    </row>
    <row r="42" spans="1:4" x14ac:dyDescent="0.3">
      <c r="A42" s="5" t="s">
        <v>48</v>
      </c>
      <c r="B42" s="6">
        <v>318</v>
      </c>
      <c r="C42" s="6">
        <v>383</v>
      </c>
      <c r="D42" s="6">
        <v>701</v>
      </c>
    </row>
    <row r="43" spans="1:4" x14ac:dyDescent="0.3">
      <c r="A43" s="5" t="s">
        <v>49</v>
      </c>
      <c r="B43" s="6">
        <v>130</v>
      </c>
      <c r="C43" s="6">
        <v>59</v>
      </c>
      <c r="D43" s="6">
        <v>189</v>
      </c>
    </row>
    <row r="44" spans="1:4" x14ac:dyDescent="0.3">
      <c r="A44" s="5" t="s">
        <v>50</v>
      </c>
      <c r="B44" s="6">
        <v>71</v>
      </c>
      <c r="C44" s="6">
        <v>39</v>
      </c>
      <c r="D44" s="6">
        <v>110</v>
      </c>
    </row>
    <row r="45" spans="1:4" x14ac:dyDescent="0.3">
      <c r="A45" s="5" t="s">
        <v>41</v>
      </c>
      <c r="B45" s="6">
        <v>519</v>
      </c>
      <c r="C45" s="6">
        <v>481</v>
      </c>
      <c r="D45"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850F9-05D0-42B5-8B74-0CF5EB1CCC17}">
  <dimension ref="A1:T3"/>
  <sheetViews>
    <sheetView showGridLines="0" tabSelected="1" zoomScale="75" workbookViewId="0">
      <selection activeCell="U21" sqref="U21"/>
    </sheetView>
  </sheetViews>
  <sheetFormatPr defaultRowHeight="14.4" x14ac:dyDescent="0.3"/>
  <sheetData>
    <row r="1" spans="1:20" x14ac:dyDescent="0.3">
      <c r="A1" s="8"/>
      <c r="B1" s="8"/>
      <c r="C1" s="8"/>
      <c r="D1" s="8"/>
      <c r="E1" s="8"/>
      <c r="F1" s="8"/>
      <c r="G1" s="8"/>
      <c r="H1" s="8"/>
      <c r="I1" s="8"/>
      <c r="J1" s="8"/>
      <c r="K1" s="8"/>
      <c r="L1" s="8"/>
      <c r="M1" s="8"/>
      <c r="N1" s="8"/>
      <c r="O1" s="8"/>
      <c r="P1" s="8"/>
      <c r="Q1" s="8"/>
      <c r="R1" s="8"/>
      <c r="S1" s="8"/>
      <c r="T1" s="8"/>
    </row>
    <row r="2" spans="1:20" ht="31.2" x14ac:dyDescent="0.3">
      <c r="A2" s="8"/>
      <c r="B2" s="8"/>
      <c r="C2" s="8"/>
      <c r="D2" s="8"/>
      <c r="E2" s="8"/>
      <c r="F2" s="10"/>
      <c r="G2" s="10" t="s">
        <v>51</v>
      </c>
      <c r="H2" s="10"/>
      <c r="I2" s="10"/>
      <c r="J2" s="10"/>
      <c r="K2" s="10"/>
      <c r="L2" s="10"/>
      <c r="M2" s="9"/>
      <c r="N2" s="9"/>
      <c r="O2" s="8"/>
      <c r="P2" s="8"/>
      <c r="Q2" s="8"/>
      <c r="R2" s="8"/>
      <c r="S2" s="8"/>
      <c r="T2" s="8"/>
    </row>
    <row r="3" spans="1:20" x14ac:dyDescent="0.3">
      <c r="A3" s="8"/>
      <c r="B3" s="8"/>
      <c r="C3" s="8"/>
      <c r="D3" s="8"/>
      <c r="E3" s="8"/>
      <c r="F3" s="8"/>
      <c r="G3" s="8"/>
      <c r="H3" s="8"/>
      <c r="I3" s="8"/>
      <c r="J3" s="8"/>
      <c r="K3" s="8"/>
      <c r="L3" s="8"/>
      <c r="M3" s="8"/>
      <c r="N3" s="8"/>
      <c r="O3" s="8"/>
      <c r="P3" s="8"/>
      <c r="Q3" s="8"/>
      <c r="R3" s="8"/>
      <c r="S3" s="8"/>
      <c r="T3"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Sheet4</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Ujjaval Bhardwaj</cp:lastModifiedBy>
  <dcterms:created xsi:type="dcterms:W3CDTF">2022-03-18T02:50:57Z</dcterms:created>
  <dcterms:modified xsi:type="dcterms:W3CDTF">2025-12-28T16:09:24Z</dcterms:modified>
</cp:coreProperties>
</file>